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P31" i="1" l="1"/>
  <c r="U17" i="1"/>
</calcChain>
</file>

<file path=xl/sharedStrings.xml><?xml version="1.0" encoding="utf-8"?>
<sst xmlns="http://schemas.openxmlformats.org/spreadsheetml/2006/main" count="100" uniqueCount="47">
  <si>
    <r>
      <t xml:space="preserve">चावल, गेहूं और मोटे अनाज की राज्यवार अधिप्राप्ति (खरीद)
</t>
    </r>
    <r>
      <rPr>
        <b/>
        <sz val="11.95"/>
        <color indexed="8"/>
        <rFont val="Nirmala UI"/>
        <family val="2"/>
      </rPr>
      <t>STATEWISE PROCUREMENT OF RICE, WHEAT AND COARSE GRAINS</t>
    </r>
  </si>
  <si>
    <t>(लाख टन में / In Lakh Tons)</t>
  </si>
  <si>
    <t>2022-23</t>
  </si>
  <si>
    <t>2023-24</t>
  </si>
  <si>
    <t>2024-25</t>
  </si>
  <si>
    <t>2025-26</t>
  </si>
  <si>
    <t>2026-27</t>
  </si>
  <si>
    <t>0.00</t>
  </si>
  <si>
    <t>0.10</t>
  </si>
  <si>
    <t>0.40</t>
  </si>
  <si>
    <t>1.02</t>
  </si>
  <si>
    <t>81.21</t>
  </si>
  <si>
    <t>0.05</t>
  </si>
  <si>
    <t>104.37</t>
  </si>
  <si>
    <t>121.63</t>
  </si>
  <si>
    <t>21.56</t>
  </si>
  <si>
    <t>Total</t>
  </si>
  <si>
    <t>राज्य
State</t>
  </si>
  <si>
    <t>चावल
Rice</t>
  </si>
  <si>
    <t>गेहूं
Wheat</t>
  </si>
  <si>
    <t>आंध्रप्रदेश Andhra Pradesh</t>
  </si>
  <si>
    <t>तेलंगाना Telangana</t>
  </si>
  <si>
    <t>असम Assam</t>
  </si>
  <si>
    <t>बिहार Bihar</t>
  </si>
  <si>
    <t>चंडीगढ़ Chandigarh</t>
  </si>
  <si>
    <t>छत्तीसगढ़ Chhattisgarh</t>
  </si>
  <si>
    <t>दिल्ली Delhi</t>
  </si>
  <si>
    <t>गुजरात Gujarat</t>
  </si>
  <si>
    <t>हरियाणा Haryana</t>
  </si>
  <si>
    <t>हिमाचल प्रदेश Himachal Pradesh</t>
  </si>
  <si>
    <t>झारखण्ड Jharkhand</t>
  </si>
  <si>
    <t>जम्मू कश्मीर Jammu and Kashmir</t>
  </si>
  <si>
    <t>कर्नाटक Karnataka</t>
  </si>
  <si>
    <t>केरलम Keralam</t>
  </si>
  <si>
    <t>मध्यप्रदेश Madhya Pradesh</t>
  </si>
  <si>
    <t>महाराष्ट्र Maharashtra</t>
  </si>
  <si>
    <t>उड़ीसा Odisha</t>
  </si>
  <si>
    <t>पुदुचेरी Puducherry</t>
  </si>
  <si>
    <t>पंजाब Punjab</t>
  </si>
  <si>
    <t>त्रिपुरा Tripura</t>
  </si>
  <si>
    <t>तमिलनाडु Tamil Nadu</t>
  </si>
  <si>
    <t>उत्तरप्रदेश Uttar Pradesh</t>
  </si>
  <si>
    <t>उत्तराखंड Uttarakhand</t>
  </si>
  <si>
    <t>पश्चिम बंगाल West Bengal</t>
  </si>
  <si>
    <t>राजस्थान Rajasthan</t>
  </si>
  <si>
    <t>मोटा अनाज
Coarse</t>
  </si>
  <si>
    <r>
      <t xml:space="preserve">* As on 31.07.2026
</t>
    </r>
    <r>
      <rPr>
        <b/>
        <sz val="9"/>
        <color indexed="8"/>
        <rFont val="Nirmala UI"/>
        <family val="2"/>
      </rPr>
      <t xml:space="preserve">Source: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</si>
</sst>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.95"/>
      <color indexed="8"/>
      <name val="Nirmala UI"/>
      <family val="2"/>
    </font>
    <font>
      <b/>
      <sz val="11.95"/>
      <color indexed="8"/>
      <name val="Nirmala UI"/>
      <family val="2"/>
    </font>
    <font>
      <sz val="9"/>
      <color indexed="8"/>
      <name val="Nirmala UI"/>
      <family val="2"/>
    </font>
    <font>
      <b/>
      <sz val="9"/>
      <color indexed="8"/>
      <name val="Nirmala UI"/>
      <family val="2"/>
    </font>
    <font>
      <b/>
      <sz val="8"/>
      <color indexed="8"/>
      <name val="Nirmala UI"/>
      <family val="2"/>
    </font>
    <font>
      <sz val="8"/>
      <color theme="1"/>
      <name val="Nirmala UI"/>
      <family val="2"/>
    </font>
    <font>
      <sz val="8"/>
      <color indexed="8"/>
      <name val="Nirmala UI"/>
      <family val="2"/>
    </font>
    <font>
      <sz val="8"/>
      <name val="Nirmala UI"/>
      <family val="2"/>
    </font>
    <font>
      <sz val="9"/>
      <color indexed="8"/>
      <name val="Nirmala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2" fontId="7" fillId="0" borderId="7" xfId="0" applyNumberFormat="1" applyFont="1" applyBorder="1" applyAlignment="1">
      <alignment horizontal="right" vertical="center" wrapText="1"/>
    </xf>
    <xf numFmtId="2" fontId="7" fillId="0" borderId="8" xfId="0" applyNumberFormat="1" applyFont="1" applyBorder="1" applyAlignment="1">
      <alignment horizontal="right" vertical="center" wrapText="1"/>
    </xf>
    <xf numFmtId="0" fontId="8" fillId="0" borderId="1" xfId="1" applyFont="1" applyBorder="1" applyAlignment="1" applyProtection="1">
      <alignment horizontal="right" vertical="center" wrapText="1" readingOrder="1"/>
      <protection locked="0"/>
    </xf>
    <xf numFmtId="2" fontId="7" fillId="0" borderId="9" xfId="0" applyNumberFormat="1" applyFont="1" applyBorder="1" applyAlignment="1">
      <alignment horizontal="right" vertical="center" wrapText="1"/>
    </xf>
    <xf numFmtId="2" fontId="7" fillId="0" borderId="10" xfId="0" applyNumberFormat="1" applyFont="1" applyBorder="1" applyAlignment="1">
      <alignment horizontal="right" vertical="center" wrapText="1"/>
    </xf>
    <xf numFmtId="0" fontId="6" fillId="0" borderId="1" xfId="1" applyFont="1" applyBorder="1" applyAlignment="1" applyProtection="1">
      <alignment horizontal="center" vertical="center" wrapText="1" readingOrder="1"/>
      <protection locked="0"/>
    </xf>
    <xf numFmtId="0" fontId="8" fillId="0" borderId="1" xfId="1" applyFont="1" applyBorder="1" applyAlignment="1" applyProtection="1">
      <alignment horizontal="left" vertical="center" wrapText="1" readingOrder="1"/>
      <protection locked="0"/>
    </xf>
    <xf numFmtId="0" fontId="9" fillId="0" borderId="4" xfId="1" applyFont="1" applyBorder="1" applyAlignment="1" applyProtection="1">
      <alignment vertical="top" wrapText="1"/>
      <protection locked="0"/>
    </xf>
    <xf numFmtId="0" fontId="8" fillId="0" borderId="1" xfId="1" applyFont="1" applyBorder="1" applyAlignment="1" applyProtection="1">
      <alignment horizontal="right" vertical="center" wrapText="1" readingOrder="1"/>
      <protection locked="0"/>
    </xf>
    <xf numFmtId="0" fontId="9" fillId="0" borderId="3" xfId="1" applyFont="1" applyBorder="1" applyAlignment="1" applyProtection="1">
      <alignment horizontal="right" vertical="top" wrapText="1"/>
      <protection locked="0"/>
    </xf>
    <xf numFmtId="0" fontId="9" fillId="0" borderId="4" xfId="1" applyFont="1" applyBorder="1" applyAlignment="1" applyProtection="1">
      <alignment horizontal="right" vertical="top" wrapText="1"/>
      <protection locked="0"/>
    </xf>
    <xf numFmtId="0" fontId="6" fillId="2" borderId="1" xfId="1" applyFont="1" applyFill="1" applyBorder="1" applyAlignment="1" applyProtection="1">
      <alignment horizontal="left" vertical="center" wrapText="1" readingOrder="1"/>
      <protection locked="0"/>
    </xf>
    <xf numFmtId="0" fontId="6" fillId="2" borderId="1" xfId="1" applyFont="1" applyFill="1" applyBorder="1" applyAlignment="1" applyProtection="1">
      <alignment horizontal="right" vertical="center" wrapText="1" readingOrder="1"/>
      <protection locked="0"/>
    </xf>
    <xf numFmtId="0" fontId="10" fillId="0" borderId="0" xfId="1" applyFont="1" applyAlignment="1" applyProtection="1">
      <alignment horizontal="left" vertical="top" wrapText="1" readingOrder="1"/>
      <protection locked="0"/>
    </xf>
    <xf numFmtId="0" fontId="1" fillId="0" borderId="0" xfId="1"/>
    <xf numFmtId="0" fontId="2" fillId="0" borderId="0" xfId="1" applyFont="1" applyAlignment="1" applyProtection="1">
      <alignment horizontal="center" vertical="top" wrapText="1" readingOrder="1"/>
      <protection locked="0"/>
    </xf>
    <xf numFmtId="0" fontId="4" fillId="0" borderId="0" xfId="1" applyFont="1" applyAlignment="1" applyProtection="1">
      <alignment horizontal="right" vertical="top" wrapText="1" readingOrder="1"/>
      <protection locked="0"/>
    </xf>
    <xf numFmtId="0" fontId="6" fillId="0" borderId="1" xfId="1" applyFont="1" applyBorder="1" applyAlignment="1" applyProtection="1">
      <alignment horizontal="center" vertical="center" wrapText="1" readingOrder="1"/>
      <protection locked="0"/>
    </xf>
    <xf numFmtId="0" fontId="9" fillId="0" borderId="2" xfId="1" applyFont="1" applyBorder="1" applyAlignment="1" applyProtection="1">
      <alignment vertical="top" wrapText="1"/>
      <protection locked="0"/>
    </xf>
    <xf numFmtId="0" fontId="9" fillId="0" borderId="5" xfId="1" applyFont="1" applyBorder="1" applyAlignment="1" applyProtection="1">
      <alignment vertical="top" wrapText="1"/>
      <protection locked="0"/>
    </xf>
    <xf numFmtId="0" fontId="9" fillId="0" borderId="6" xfId="1" applyFont="1" applyBorder="1" applyAlignment="1" applyProtection="1">
      <alignment vertical="top" wrapText="1"/>
      <protection locked="0"/>
    </xf>
    <xf numFmtId="0" fontId="9" fillId="0" borderId="3" xfId="1" applyFont="1" applyBorder="1" applyAlignment="1" applyProtection="1">
      <alignment vertical="top" wrapText="1"/>
      <protection locked="0"/>
    </xf>
    <xf numFmtId="0" fontId="8" fillId="2" borderId="1" xfId="1" applyFont="1" applyFill="1" applyBorder="1" applyAlignment="1" applyProtection="1">
      <alignment horizontal="right" vertical="center" wrapText="1" readingOrder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topLeftCell="A4" zoomScale="85" zoomScaleNormal="85" workbookViewId="0">
      <selection activeCell="P32" sqref="P32"/>
    </sheetView>
  </sheetViews>
  <sheetFormatPr defaultRowHeight="15" x14ac:dyDescent="0.25"/>
  <sheetData>
    <row r="1" spans="1:19" x14ac:dyDescent="0.2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8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"/>
      <c r="S3" s="1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9" t="s">
        <v>17</v>
      </c>
      <c r="B5" s="20"/>
      <c r="C5" s="19" t="s">
        <v>2</v>
      </c>
      <c r="D5" s="23"/>
      <c r="E5" s="9"/>
      <c r="F5" s="19" t="s">
        <v>3</v>
      </c>
      <c r="G5" s="23"/>
      <c r="H5" s="9"/>
      <c r="I5" s="19" t="s">
        <v>4</v>
      </c>
      <c r="J5" s="23"/>
      <c r="K5" s="9"/>
      <c r="L5" s="19" t="s">
        <v>5</v>
      </c>
      <c r="M5" s="23"/>
      <c r="N5" s="9"/>
      <c r="O5" s="19" t="s">
        <v>6</v>
      </c>
      <c r="P5" s="23"/>
      <c r="Q5" s="23"/>
      <c r="R5" s="23"/>
      <c r="S5" s="9"/>
    </row>
    <row r="6" spans="1:19" ht="21.75" thickBot="1" x14ac:dyDescent="0.3">
      <c r="A6" s="21"/>
      <c r="B6" s="22"/>
      <c r="C6" s="7" t="s">
        <v>18</v>
      </c>
      <c r="D6" s="7" t="s">
        <v>19</v>
      </c>
      <c r="E6" s="7" t="s">
        <v>45</v>
      </c>
      <c r="F6" s="7" t="s">
        <v>18</v>
      </c>
      <c r="G6" s="7" t="s">
        <v>19</v>
      </c>
      <c r="H6" s="7" t="s">
        <v>45</v>
      </c>
      <c r="I6" s="7" t="s">
        <v>18</v>
      </c>
      <c r="J6" s="7" t="s">
        <v>19</v>
      </c>
      <c r="K6" s="7" t="s">
        <v>45</v>
      </c>
      <c r="L6" s="7" t="s">
        <v>18</v>
      </c>
      <c r="M6" s="7" t="s">
        <v>19</v>
      </c>
      <c r="N6" s="7" t="s">
        <v>45</v>
      </c>
      <c r="O6" s="7" t="s">
        <v>18</v>
      </c>
      <c r="P6" s="7" t="s">
        <v>19</v>
      </c>
      <c r="Q6" s="19" t="s">
        <v>45</v>
      </c>
      <c r="R6" s="23"/>
      <c r="S6" s="9"/>
    </row>
    <row r="7" spans="1:19" ht="15.75" thickBot="1" x14ac:dyDescent="0.3">
      <c r="A7" s="8" t="s">
        <v>20</v>
      </c>
      <c r="B7" s="9"/>
      <c r="C7" s="2">
        <v>27.55</v>
      </c>
      <c r="D7" s="3">
        <v>0</v>
      </c>
      <c r="E7" s="3">
        <v>0.04</v>
      </c>
      <c r="F7" s="3">
        <v>20.38</v>
      </c>
      <c r="G7" s="3">
        <v>0</v>
      </c>
      <c r="H7" s="3">
        <v>0.3</v>
      </c>
      <c r="I7" s="3">
        <v>25.6</v>
      </c>
      <c r="J7" s="3">
        <v>0</v>
      </c>
      <c r="K7" s="3">
        <v>0.37</v>
      </c>
      <c r="L7" s="3">
        <v>39.590000000000003</v>
      </c>
      <c r="M7" s="3">
        <v>0</v>
      </c>
      <c r="N7" s="3">
        <v>0.55000000000000004</v>
      </c>
      <c r="O7" s="3">
        <v>0</v>
      </c>
      <c r="P7" s="4" t="s">
        <v>7</v>
      </c>
      <c r="Q7" s="10" t="s">
        <v>7</v>
      </c>
      <c r="R7" s="11"/>
      <c r="S7" s="12"/>
    </row>
    <row r="8" spans="1:19" ht="15.75" thickBot="1" x14ac:dyDescent="0.3">
      <c r="A8" s="8" t="s">
        <v>21</v>
      </c>
      <c r="B8" s="9"/>
      <c r="C8" s="5">
        <v>62.89</v>
      </c>
      <c r="D8" s="6">
        <v>0</v>
      </c>
      <c r="E8" s="6">
        <v>0</v>
      </c>
      <c r="F8" s="6">
        <v>63.86</v>
      </c>
      <c r="G8" s="6">
        <v>0</v>
      </c>
      <c r="H8" s="6">
        <v>0</v>
      </c>
      <c r="I8" s="6">
        <v>65.09</v>
      </c>
      <c r="J8" s="6">
        <v>0</v>
      </c>
      <c r="K8" s="6">
        <v>0</v>
      </c>
      <c r="L8" s="6">
        <v>82.18</v>
      </c>
      <c r="M8" s="6">
        <v>0</v>
      </c>
      <c r="N8" s="6">
        <v>0</v>
      </c>
      <c r="O8" s="6">
        <v>0</v>
      </c>
      <c r="P8" s="4" t="s">
        <v>7</v>
      </c>
      <c r="Q8" s="10" t="s">
        <v>7</v>
      </c>
      <c r="R8" s="11"/>
      <c r="S8" s="12"/>
    </row>
    <row r="9" spans="1:19" ht="15.75" thickBot="1" x14ac:dyDescent="0.3">
      <c r="A9" s="8" t="s">
        <v>22</v>
      </c>
      <c r="B9" s="9"/>
      <c r="C9" s="5">
        <v>4.01</v>
      </c>
      <c r="D9" s="6">
        <v>0</v>
      </c>
      <c r="E9" s="6">
        <v>0</v>
      </c>
      <c r="F9" s="6">
        <v>2.64</v>
      </c>
      <c r="G9" s="6">
        <v>0</v>
      </c>
      <c r="H9" s="6">
        <v>0</v>
      </c>
      <c r="I9" s="6">
        <v>5.7</v>
      </c>
      <c r="J9" s="6">
        <v>0</v>
      </c>
      <c r="K9" s="6">
        <v>0</v>
      </c>
      <c r="L9" s="6">
        <v>4.62</v>
      </c>
      <c r="M9" s="6">
        <v>0</v>
      </c>
      <c r="N9" s="6">
        <v>0</v>
      </c>
      <c r="O9" s="6">
        <v>0</v>
      </c>
      <c r="P9" s="4" t="s">
        <v>7</v>
      </c>
      <c r="Q9" s="10" t="s">
        <v>7</v>
      </c>
      <c r="R9" s="11"/>
      <c r="S9" s="12"/>
    </row>
    <row r="10" spans="1:19" ht="15.75" thickBot="1" x14ac:dyDescent="0.3">
      <c r="A10" s="8" t="s">
        <v>23</v>
      </c>
      <c r="B10" s="9"/>
      <c r="C10" s="5">
        <v>28.17</v>
      </c>
      <c r="D10" s="6">
        <v>0.04</v>
      </c>
      <c r="E10" s="6">
        <v>0</v>
      </c>
      <c r="F10" s="6">
        <v>20.63</v>
      </c>
      <c r="G10" s="6">
        <v>0.01</v>
      </c>
      <c r="H10" s="6">
        <v>0</v>
      </c>
      <c r="I10" s="6">
        <v>26.28</v>
      </c>
      <c r="J10" s="6">
        <v>0.1</v>
      </c>
      <c r="K10" s="6">
        <v>0</v>
      </c>
      <c r="L10" s="6">
        <v>25.02</v>
      </c>
      <c r="M10" s="6">
        <v>0.18</v>
      </c>
      <c r="N10" s="6">
        <v>0</v>
      </c>
      <c r="O10" s="6">
        <v>0.4</v>
      </c>
      <c r="P10" s="4" t="s">
        <v>9</v>
      </c>
      <c r="Q10" s="10" t="s">
        <v>7</v>
      </c>
      <c r="R10" s="11"/>
      <c r="S10" s="12"/>
    </row>
    <row r="11" spans="1:19" ht="15.75" thickBot="1" x14ac:dyDescent="0.3">
      <c r="A11" s="8" t="s">
        <v>24</v>
      </c>
      <c r="B11" s="9"/>
      <c r="C11" s="5">
        <v>0.13</v>
      </c>
      <c r="D11" s="6">
        <v>0.03</v>
      </c>
      <c r="E11" s="6">
        <v>0</v>
      </c>
      <c r="F11" s="6">
        <v>0.17</v>
      </c>
      <c r="G11" s="6">
        <v>0.1</v>
      </c>
      <c r="H11" s="6">
        <v>0</v>
      </c>
      <c r="I11" s="6">
        <v>0.18</v>
      </c>
      <c r="J11" s="6">
        <v>0.08</v>
      </c>
      <c r="K11" s="6">
        <v>0</v>
      </c>
      <c r="L11" s="6">
        <v>0.13</v>
      </c>
      <c r="M11" s="6">
        <v>0.09</v>
      </c>
      <c r="N11" s="6">
        <v>0</v>
      </c>
      <c r="O11" s="6">
        <v>0.1</v>
      </c>
      <c r="P11" s="4" t="s">
        <v>8</v>
      </c>
      <c r="Q11" s="10" t="s">
        <v>7</v>
      </c>
      <c r="R11" s="11"/>
      <c r="S11" s="12"/>
    </row>
    <row r="12" spans="1:19" ht="15.75" thickBot="1" x14ac:dyDescent="0.3">
      <c r="A12" s="8" t="s">
        <v>25</v>
      </c>
      <c r="B12" s="9"/>
      <c r="C12" s="5">
        <v>58.65</v>
      </c>
      <c r="D12" s="6">
        <v>0</v>
      </c>
      <c r="E12" s="6">
        <v>0</v>
      </c>
      <c r="F12" s="6">
        <v>83</v>
      </c>
      <c r="G12" s="6">
        <v>0</v>
      </c>
      <c r="H12" s="6">
        <v>0</v>
      </c>
      <c r="I12" s="6">
        <v>78</v>
      </c>
      <c r="J12" s="6">
        <v>0</v>
      </c>
      <c r="K12" s="6">
        <v>0</v>
      </c>
      <c r="L12" s="6">
        <v>73</v>
      </c>
      <c r="M12" s="6">
        <v>0</v>
      </c>
      <c r="N12" s="6">
        <v>0</v>
      </c>
      <c r="O12" s="6">
        <v>0</v>
      </c>
      <c r="P12" s="4" t="s">
        <v>7</v>
      </c>
      <c r="Q12" s="10" t="s">
        <v>7</v>
      </c>
      <c r="R12" s="11"/>
      <c r="S12" s="12"/>
    </row>
    <row r="13" spans="1:19" ht="15.75" thickBot="1" x14ac:dyDescent="0.3">
      <c r="A13" s="8" t="s">
        <v>26</v>
      </c>
      <c r="B13" s="9"/>
      <c r="C13" s="5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4" t="s">
        <v>7</v>
      </c>
      <c r="Q13" s="10" t="s">
        <v>7</v>
      </c>
      <c r="R13" s="11"/>
      <c r="S13" s="12"/>
    </row>
    <row r="14" spans="1:19" ht="15.75" thickBot="1" x14ac:dyDescent="0.3">
      <c r="A14" s="8" t="s">
        <v>27</v>
      </c>
      <c r="B14" s="9"/>
      <c r="C14" s="5">
        <v>1.18</v>
      </c>
      <c r="D14" s="6">
        <v>0</v>
      </c>
      <c r="E14" s="6">
        <v>0.57999999999999996</v>
      </c>
      <c r="F14" s="6">
        <v>0.56999999999999995</v>
      </c>
      <c r="G14" s="6">
        <v>0</v>
      </c>
      <c r="H14" s="6">
        <v>1.1299999999999999</v>
      </c>
      <c r="I14" s="6">
        <v>0.24</v>
      </c>
      <c r="J14" s="6">
        <v>0</v>
      </c>
      <c r="K14" s="6">
        <v>0.91</v>
      </c>
      <c r="L14" s="6">
        <v>0.46</v>
      </c>
      <c r="M14" s="6">
        <v>0.04</v>
      </c>
      <c r="N14" s="6">
        <v>1.47</v>
      </c>
      <c r="O14" s="6">
        <v>1.02</v>
      </c>
      <c r="P14" s="4" t="s">
        <v>10</v>
      </c>
      <c r="Q14" s="10" t="s">
        <v>7</v>
      </c>
      <c r="R14" s="11"/>
      <c r="S14" s="12"/>
    </row>
    <row r="15" spans="1:19" ht="15.75" thickBot="1" x14ac:dyDescent="0.3">
      <c r="A15" s="8" t="s">
        <v>28</v>
      </c>
      <c r="B15" s="9"/>
      <c r="C15" s="5">
        <v>39.770000000000003</v>
      </c>
      <c r="D15" s="6">
        <v>41.86</v>
      </c>
      <c r="E15" s="6">
        <v>0.81</v>
      </c>
      <c r="F15" s="6">
        <v>39.49</v>
      </c>
      <c r="G15" s="6">
        <v>63.17</v>
      </c>
      <c r="H15" s="6">
        <v>2.31</v>
      </c>
      <c r="I15" s="6">
        <v>36.17</v>
      </c>
      <c r="J15" s="6">
        <v>71.5</v>
      </c>
      <c r="K15" s="6">
        <v>1.56</v>
      </c>
      <c r="L15" s="6">
        <v>41.58</v>
      </c>
      <c r="M15" s="6">
        <v>70.83</v>
      </c>
      <c r="N15" s="6">
        <v>0</v>
      </c>
      <c r="O15" s="6">
        <v>81.209999999999994</v>
      </c>
      <c r="P15" s="4" t="s">
        <v>11</v>
      </c>
      <c r="Q15" s="10" t="s">
        <v>7</v>
      </c>
      <c r="R15" s="11"/>
      <c r="S15" s="12"/>
    </row>
    <row r="16" spans="1:19" ht="15.75" thickBot="1" x14ac:dyDescent="0.3">
      <c r="A16" s="8" t="s">
        <v>29</v>
      </c>
      <c r="B16" s="9"/>
      <c r="C16" s="5">
        <v>0.09</v>
      </c>
      <c r="D16" s="6">
        <v>0.03</v>
      </c>
      <c r="E16" s="6">
        <v>0</v>
      </c>
      <c r="F16" s="6">
        <v>0.15</v>
      </c>
      <c r="G16" s="6">
        <v>0.03</v>
      </c>
      <c r="H16" s="6">
        <v>0</v>
      </c>
      <c r="I16" s="6">
        <v>0.25</v>
      </c>
      <c r="J16" s="6">
        <v>0.03</v>
      </c>
      <c r="K16" s="6">
        <v>0</v>
      </c>
      <c r="L16" s="6">
        <v>0.14000000000000001</v>
      </c>
      <c r="M16" s="6">
        <v>0.03</v>
      </c>
      <c r="N16" s="6">
        <v>0</v>
      </c>
      <c r="O16" s="6">
        <v>0.05</v>
      </c>
      <c r="P16" s="4" t="s">
        <v>12</v>
      </c>
      <c r="Q16" s="10" t="s">
        <v>7</v>
      </c>
      <c r="R16" s="11"/>
      <c r="S16" s="12"/>
    </row>
    <row r="17" spans="1:21" ht="15.75" thickBot="1" x14ac:dyDescent="0.3">
      <c r="A17" s="8" t="s">
        <v>30</v>
      </c>
      <c r="B17" s="9"/>
      <c r="C17" s="5">
        <v>1.17</v>
      </c>
      <c r="D17" s="6">
        <v>0</v>
      </c>
      <c r="E17" s="6">
        <v>0</v>
      </c>
      <c r="F17" s="6">
        <v>0.5</v>
      </c>
      <c r="G17" s="6">
        <v>0</v>
      </c>
      <c r="H17" s="6">
        <v>0</v>
      </c>
      <c r="I17" s="6">
        <v>1.4</v>
      </c>
      <c r="J17" s="6">
        <v>0</v>
      </c>
      <c r="K17" s="6">
        <v>0</v>
      </c>
      <c r="L17" s="6">
        <v>1.06</v>
      </c>
      <c r="M17" s="6">
        <v>0</v>
      </c>
      <c r="N17" s="6">
        <v>0</v>
      </c>
      <c r="O17" s="6">
        <v>0</v>
      </c>
      <c r="P17" s="4" t="s">
        <v>7</v>
      </c>
      <c r="Q17" s="10" t="s">
        <v>7</v>
      </c>
      <c r="R17" s="11"/>
      <c r="S17" s="12"/>
      <c r="U17" t="e">
        <f>SUM(Q+P7:S833)</f>
        <v>#NAME?</v>
      </c>
    </row>
    <row r="18" spans="1:21" ht="15.75" thickBot="1" x14ac:dyDescent="0.3">
      <c r="A18" s="8" t="s">
        <v>31</v>
      </c>
      <c r="B18" s="9"/>
      <c r="C18" s="5">
        <v>0.22</v>
      </c>
      <c r="D18" s="6">
        <v>0</v>
      </c>
      <c r="E18" s="6">
        <v>0</v>
      </c>
      <c r="F18" s="6">
        <v>0.16</v>
      </c>
      <c r="G18" s="6">
        <v>0</v>
      </c>
      <c r="H18" s="6">
        <v>0</v>
      </c>
      <c r="I18" s="6">
        <v>0.22</v>
      </c>
      <c r="J18" s="6">
        <v>0</v>
      </c>
      <c r="K18" s="6">
        <v>0</v>
      </c>
      <c r="L18" s="6">
        <v>0.33</v>
      </c>
      <c r="M18" s="6">
        <v>0</v>
      </c>
      <c r="N18" s="6">
        <v>0</v>
      </c>
      <c r="O18" s="6">
        <v>0</v>
      </c>
      <c r="P18" s="4" t="s">
        <v>7</v>
      </c>
      <c r="Q18" s="10" t="s">
        <v>7</v>
      </c>
      <c r="R18" s="11"/>
      <c r="S18" s="12"/>
    </row>
    <row r="19" spans="1:21" ht="15.75" thickBot="1" x14ac:dyDescent="0.3">
      <c r="A19" s="8" t="s">
        <v>32</v>
      </c>
      <c r="B19" s="9"/>
      <c r="C19" s="5">
        <v>0.14000000000000001</v>
      </c>
      <c r="D19" s="6">
        <v>0</v>
      </c>
      <c r="E19" s="6">
        <v>5.31</v>
      </c>
      <c r="F19" s="6">
        <v>0</v>
      </c>
      <c r="G19" s="6">
        <v>0</v>
      </c>
      <c r="H19" s="6">
        <v>4.17</v>
      </c>
      <c r="I19" s="6">
        <v>0</v>
      </c>
      <c r="J19" s="6">
        <v>0</v>
      </c>
      <c r="K19" s="6">
        <v>5.4</v>
      </c>
      <c r="L19" s="6">
        <v>0.04</v>
      </c>
      <c r="M19" s="6">
        <v>0</v>
      </c>
      <c r="N19" s="6">
        <v>7.91</v>
      </c>
      <c r="O19" s="6">
        <v>0</v>
      </c>
      <c r="P19" s="4" t="s">
        <v>7</v>
      </c>
      <c r="Q19" s="10" t="s">
        <v>7</v>
      </c>
      <c r="R19" s="11"/>
      <c r="S19" s="12"/>
    </row>
    <row r="20" spans="1:21" ht="15.75" thickBot="1" x14ac:dyDescent="0.3">
      <c r="A20" s="8" t="s">
        <v>33</v>
      </c>
      <c r="B20" s="9"/>
      <c r="C20" s="5">
        <v>4.97</v>
      </c>
      <c r="D20" s="6">
        <v>0</v>
      </c>
      <c r="E20" s="6">
        <v>0</v>
      </c>
      <c r="F20" s="6">
        <v>3.8</v>
      </c>
      <c r="G20" s="6">
        <v>0</v>
      </c>
      <c r="H20" s="6">
        <v>0</v>
      </c>
      <c r="I20" s="6">
        <v>3.83</v>
      </c>
      <c r="J20" s="6">
        <v>0</v>
      </c>
      <c r="K20" s="6">
        <v>0</v>
      </c>
      <c r="L20" s="6">
        <v>3.89</v>
      </c>
      <c r="M20" s="6">
        <v>0</v>
      </c>
      <c r="N20" s="6">
        <v>0</v>
      </c>
      <c r="O20" s="6">
        <v>0</v>
      </c>
      <c r="P20" s="4" t="s">
        <v>7</v>
      </c>
      <c r="Q20" s="10" t="s">
        <v>7</v>
      </c>
      <c r="R20" s="11"/>
      <c r="S20" s="12"/>
    </row>
    <row r="21" spans="1:21" ht="15.75" thickBot="1" x14ac:dyDescent="0.3">
      <c r="A21" s="8" t="s">
        <v>34</v>
      </c>
      <c r="B21" s="9"/>
      <c r="C21" s="5">
        <v>31.02</v>
      </c>
      <c r="D21" s="6">
        <v>46.04</v>
      </c>
      <c r="E21" s="6">
        <v>0</v>
      </c>
      <c r="F21" s="6">
        <v>28.25</v>
      </c>
      <c r="G21" s="6">
        <v>70.97</v>
      </c>
      <c r="H21" s="6">
        <v>0</v>
      </c>
      <c r="I21" s="6">
        <v>29.09</v>
      </c>
      <c r="J21" s="6">
        <v>48.39</v>
      </c>
      <c r="K21" s="6">
        <v>0.01</v>
      </c>
      <c r="L21" s="6">
        <v>34.67</v>
      </c>
      <c r="M21" s="6">
        <v>77.739999999999995</v>
      </c>
      <c r="N21" s="6">
        <v>0</v>
      </c>
      <c r="O21" s="6">
        <v>104.37</v>
      </c>
      <c r="P21" s="4" t="s">
        <v>13</v>
      </c>
      <c r="Q21" s="10" t="s">
        <v>7</v>
      </c>
      <c r="R21" s="11"/>
      <c r="S21" s="12"/>
    </row>
    <row r="22" spans="1:21" ht="15.75" thickBot="1" x14ac:dyDescent="0.3">
      <c r="A22" s="8" t="s">
        <v>35</v>
      </c>
      <c r="B22" s="9"/>
      <c r="C22" s="5">
        <v>12.38</v>
      </c>
      <c r="D22" s="6">
        <v>0</v>
      </c>
      <c r="E22" s="6">
        <v>0.17</v>
      </c>
      <c r="F22" s="6">
        <v>7.8</v>
      </c>
      <c r="G22" s="6">
        <v>0</v>
      </c>
      <c r="H22" s="6">
        <v>0.87</v>
      </c>
      <c r="I22" s="6">
        <v>10.67</v>
      </c>
      <c r="J22" s="6">
        <v>0</v>
      </c>
      <c r="K22" s="6">
        <v>1.33</v>
      </c>
      <c r="L22" s="6">
        <v>12.5</v>
      </c>
      <c r="M22" s="6">
        <v>0</v>
      </c>
      <c r="N22" s="6">
        <v>2.79</v>
      </c>
      <c r="O22" s="6">
        <v>0</v>
      </c>
      <c r="P22" s="4" t="s">
        <v>7</v>
      </c>
      <c r="Q22" s="10" t="s">
        <v>7</v>
      </c>
      <c r="R22" s="11"/>
      <c r="S22" s="12"/>
    </row>
    <row r="23" spans="1:21" ht="15.75" thickBot="1" x14ac:dyDescent="0.3">
      <c r="A23" s="8" t="s">
        <v>36</v>
      </c>
      <c r="B23" s="9"/>
      <c r="C23" s="5">
        <v>53.83</v>
      </c>
      <c r="D23" s="6">
        <v>0</v>
      </c>
      <c r="E23" s="6">
        <v>0</v>
      </c>
      <c r="F23" s="6">
        <v>48.2</v>
      </c>
      <c r="G23" s="6">
        <v>0</v>
      </c>
      <c r="H23" s="6">
        <v>0</v>
      </c>
      <c r="I23" s="6">
        <v>58.17</v>
      </c>
      <c r="J23" s="6">
        <v>0</v>
      </c>
      <c r="K23" s="6">
        <v>0</v>
      </c>
      <c r="L23" s="6">
        <v>54.2</v>
      </c>
      <c r="M23" s="6">
        <v>0</v>
      </c>
      <c r="N23" s="6">
        <v>0</v>
      </c>
      <c r="O23" s="6">
        <v>0</v>
      </c>
      <c r="P23" s="4" t="s">
        <v>7</v>
      </c>
      <c r="Q23" s="10" t="s">
        <v>7</v>
      </c>
      <c r="R23" s="11"/>
      <c r="S23" s="12"/>
    </row>
    <row r="24" spans="1:21" ht="15.75" thickBot="1" x14ac:dyDescent="0.3">
      <c r="A24" s="8" t="s">
        <v>37</v>
      </c>
      <c r="B24" s="9"/>
      <c r="C24" s="5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4" t="s">
        <v>7</v>
      </c>
      <c r="Q24" s="10" t="s">
        <v>7</v>
      </c>
      <c r="R24" s="11"/>
      <c r="S24" s="12"/>
    </row>
    <row r="25" spans="1:21" ht="15.75" thickBot="1" x14ac:dyDescent="0.3">
      <c r="A25" s="8" t="s">
        <v>38</v>
      </c>
      <c r="B25" s="9"/>
      <c r="C25" s="5">
        <v>122.01</v>
      </c>
      <c r="D25" s="6">
        <v>96.45</v>
      </c>
      <c r="E25" s="6">
        <v>0</v>
      </c>
      <c r="F25" s="6">
        <v>124.14</v>
      </c>
      <c r="G25" s="6">
        <v>121.12</v>
      </c>
      <c r="H25" s="6">
        <v>0</v>
      </c>
      <c r="I25" s="6">
        <v>116.13</v>
      </c>
      <c r="J25" s="6">
        <v>124.57</v>
      </c>
      <c r="K25" s="6">
        <v>0</v>
      </c>
      <c r="L25" s="6">
        <v>104.86</v>
      </c>
      <c r="M25" s="6">
        <v>119.19</v>
      </c>
      <c r="N25" s="6">
        <v>0</v>
      </c>
      <c r="O25" s="6">
        <v>121.63</v>
      </c>
      <c r="P25" s="4" t="s">
        <v>14</v>
      </c>
      <c r="Q25" s="10" t="s">
        <v>7</v>
      </c>
      <c r="R25" s="11"/>
      <c r="S25" s="12"/>
    </row>
    <row r="26" spans="1:21" ht="15.75" thickBot="1" x14ac:dyDescent="0.3">
      <c r="A26" s="8" t="s">
        <v>39</v>
      </c>
      <c r="B26" s="9"/>
      <c r="C26" s="5">
        <v>0.3</v>
      </c>
      <c r="D26" s="6">
        <v>0</v>
      </c>
      <c r="E26" s="6">
        <v>0</v>
      </c>
      <c r="F26" s="6">
        <v>0.21</v>
      </c>
      <c r="G26" s="6">
        <v>0</v>
      </c>
      <c r="H26" s="6">
        <v>0</v>
      </c>
      <c r="I26" s="6">
        <v>0.24</v>
      </c>
      <c r="J26" s="6">
        <v>0</v>
      </c>
      <c r="K26" s="6">
        <v>0</v>
      </c>
      <c r="L26" s="6">
        <v>0.19</v>
      </c>
      <c r="M26" s="6">
        <v>0</v>
      </c>
      <c r="N26" s="6">
        <v>0</v>
      </c>
      <c r="O26" s="6">
        <v>0</v>
      </c>
      <c r="P26" s="4" t="s">
        <v>7</v>
      </c>
      <c r="Q26" s="10" t="s">
        <v>7</v>
      </c>
      <c r="R26" s="11"/>
      <c r="S26" s="12"/>
    </row>
    <row r="27" spans="1:21" ht="15.75" thickBot="1" x14ac:dyDescent="0.3">
      <c r="A27" s="8" t="s">
        <v>40</v>
      </c>
      <c r="B27" s="9"/>
      <c r="C27" s="5">
        <v>23.01</v>
      </c>
      <c r="D27" s="6">
        <v>0</v>
      </c>
      <c r="E27" s="6">
        <v>0.01</v>
      </c>
      <c r="F27" s="6">
        <v>23.77</v>
      </c>
      <c r="G27" s="6">
        <v>0</v>
      </c>
      <c r="H27" s="6">
        <v>0.02</v>
      </c>
      <c r="I27" s="6">
        <v>32.630000000000003</v>
      </c>
      <c r="J27" s="6">
        <v>0</v>
      </c>
      <c r="K27" s="6">
        <v>0.04</v>
      </c>
      <c r="L27" s="6">
        <v>28.95</v>
      </c>
      <c r="M27" s="6">
        <v>0</v>
      </c>
      <c r="N27" s="6">
        <v>0.08</v>
      </c>
      <c r="O27" s="6">
        <v>0</v>
      </c>
      <c r="P27" s="4" t="s">
        <v>7</v>
      </c>
      <c r="Q27" s="10" t="s">
        <v>7</v>
      </c>
      <c r="R27" s="11"/>
      <c r="S27" s="12"/>
    </row>
    <row r="28" spans="1:21" ht="15.75" thickBot="1" x14ac:dyDescent="0.3">
      <c r="A28" s="8" t="s">
        <v>41</v>
      </c>
      <c r="B28" s="9"/>
      <c r="C28" s="5">
        <v>43.89</v>
      </c>
      <c r="D28" s="6">
        <v>3.36</v>
      </c>
      <c r="E28" s="6">
        <v>0.43</v>
      </c>
      <c r="F28" s="6">
        <v>36.049999999999997</v>
      </c>
      <c r="G28" s="6">
        <v>2.2000000000000002</v>
      </c>
      <c r="H28" s="6">
        <v>3.73</v>
      </c>
      <c r="I28" s="6">
        <v>38.659999999999997</v>
      </c>
      <c r="J28" s="6">
        <v>9.31</v>
      </c>
      <c r="K28" s="6">
        <v>1.68</v>
      </c>
      <c r="L28" s="6">
        <v>41.75</v>
      </c>
      <c r="M28" s="6">
        <v>10.27</v>
      </c>
      <c r="N28" s="6">
        <v>2.92</v>
      </c>
      <c r="O28" s="6">
        <v>21.56</v>
      </c>
      <c r="P28" s="4" t="s">
        <v>15</v>
      </c>
      <c r="Q28" s="10" t="s">
        <v>7</v>
      </c>
      <c r="R28" s="11"/>
      <c r="S28" s="12"/>
    </row>
    <row r="29" spans="1:21" ht="15.75" thickBot="1" x14ac:dyDescent="0.3">
      <c r="A29" s="8" t="s">
        <v>42</v>
      </c>
      <c r="B29" s="9"/>
      <c r="C29" s="5">
        <v>6</v>
      </c>
      <c r="D29" s="6">
        <v>0.02</v>
      </c>
      <c r="E29" s="6">
        <v>0.01</v>
      </c>
      <c r="F29" s="6">
        <v>4.8899999999999997</v>
      </c>
      <c r="G29" s="6">
        <v>0</v>
      </c>
      <c r="H29" s="6">
        <v>0.02</v>
      </c>
      <c r="I29" s="6">
        <v>4.51</v>
      </c>
      <c r="J29" s="6">
        <v>0.02</v>
      </c>
      <c r="K29" s="6">
        <v>0.03</v>
      </c>
      <c r="L29" s="6">
        <v>5.0199999999999996</v>
      </c>
      <c r="M29" s="6">
        <v>0.01</v>
      </c>
      <c r="N29" s="6">
        <v>0.05</v>
      </c>
      <c r="O29" s="6">
        <v>0.1</v>
      </c>
      <c r="P29" s="4" t="s">
        <v>8</v>
      </c>
      <c r="Q29" s="10" t="s">
        <v>7</v>
      </c>
      <c r="R29" s="11"/>
      <c r="S29" s="12"/>
    </row>
    <row r="30" spans="1:21" ht="15.75" thickBot="1" x14ac:dyDescent="0.3">
      <c r="A30" s="8" t="s">
        <v>43</v>
      </c>
      <c r="B30" s="9"/>
      <c r="C30" s="5">
        <v>21.82</v>
      </c>
      <c r="D30" s="6">
        <v>0</v>
      </c>
      <c r="E30" s="6">
        <v>0</v>
      </c>
      <c r="F30" s="6">
        <v>16.79</v>
      </c>
      <c r="G30" s="6">
        <v>0</v>
      </c>
      <c r="H30" s="6">
        <v>0</v>
      </c>
      <c r="I30" s="6">
        <v>19.91</v>
      </c>
      <c r="J30" s="6">
        <v>0</v>
      </c>
      <c r="K30" s="6">
        <v>0</v>
      </c>
      <c r="L30" s="6">
        <v>16.71</v>
      </c>
      <c r="M30" s="6">
        <v>0</v>
      </c>
      <c r="N30" s="6">
        <v>0</v>
      </c>
      <c r="O30" s="6">
        <v>0</v>
      </c>
      <c r="P30" s="4" t="s">
        <v>7</v>
      </c>
      <c r="Q30" s="10" t="s">
        <v>7</v>
      </c>
      <c r="R30" s="11"/>
      <c r="S30" s="12"/>
    </row>
    <row r="31" spans="1:21" ht="15.75" thickBot="1" x14ac:dyDescent="0.3">
      <c r="A31" s="8" t="s">
        <v>44</v>
      </c>
      <c r="B31" s="9"/>
      <c r="C31" s="5">
        <v>0</v>
      </c>
      <c r="D31" s="6">
        <v>0.1</v>
      </c>
      <c r="E31" s="6">
        <v>0</v>
      </c>
      <c r="F31" s="6">
        <v>0</v>
      </c>
      <c r="G31" s="6">
        <v>4.38</v>
      </c>
      <c r="H31" s="6">
        <v>0</v>
      </c>
      <c r="I31" s="6">
        <v>0</v>
      </c>
      <c r="J31" s="6">
        <v>12.06</v>
      </c>
      <c r="K31" s="6">
        <v>0</v>
      </c>
      <c r="L31" s="6">
        <v>0</v>
      </c>
      <c r="M31" s="6">
        <v>21.37</v>
      </c>
      <c r="N31" s="6">
        <v>0</v>
      </c>
      <c r="O31" s="6">
        <v>27.12</v>
      </c>
      <c r="P31" s="4">
        <f>SUM(X9)</f>
        <v>0</v>
      </c>
      <c r="Q31" s="10" t="s">
        <v>7</v>
      </c>
      <c r="R31" s="11"/>
      <c r="S31" s="12"/>
    </row>
    <row r="32" spans="1:21" ht="15.75" thickBot="1" x14ac:dyDescent="0.3">
      <c r="A32" s="13" t="s">
        <v>16</v>
      </c>
      <c r="B32" s="9"/>
      <c r="C32" s="5">
        <v>543.20000000000005</v>
      </c>
      <c r="D32" s="6">
        <v>187.92</v>
      </c>
      <c r="E32" s="6">
        <v>7.37</v>
      </c>
      <c r="F32" s="6">
        <v>525.48</v>
      </c>
      <c r="G32" s="6">
        <v>261.97000000000003</v>
      </c>
      <c r="H32" s="6">
        <v>12.55</v>
      </c>
      <c r="I32" s="6">
        <v>552.98</v>
      </c>
      <c r="J32" s="6">
        <v>266.05</v>
      </c>
      <c r="K32" s="6">
        <v>11.32</v>
      </c>
      <c r="L32" s="6">
        <v>570.88</v>
      </c>
      <c r="M32" s="6">
        <v>299.75</v>
      </c>
      <c r="N32" s="6">
        <v>15.78</v>
      </c>
      <c r="O32" s="6">
        <v>357.57</v>
      </c>
      <c r="P32" s="24">
        <v>330.44</v>
      </c>
      <c r="Q32" s="14" t="s">
        <v>7</v>
      </c>
      <c r="R32" s="11"/>
      <c r="S32" s="12"/>
    </row>
    <row r="33" spans="2:18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x14ac:dyDescent="0.25">
      <c r="B34" s="15" t="s">
        <v>46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2:18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mergeCells count="62">
    <mergeCell ref="A1:Q1"/>
    <mergeCell ref="A3:Q3"/>
    <mergeCell ref="A5:B6"/>
    <mergeCell ref="C5:E5"/>
    <mergeCell ref="F5:H5"/>
    <mergeCell ref="I5:K5"/>
    <mergeCell ref="L5:N5"/>
    <mergeCell ref="O5:S5"/>
    <mergeCell ref="Q6:S6"/>
    <mergeCell ref="A7:B7"/>
    <mergeCell ref="Q7:S7"/>
    <mergeCell ref="A8:B8"/>
    <mergeCell ref="Q8:S8"/>
    <mergeCell ref="A9:B9"/>
    <mergeCell ref="Q9:S9"/>
    <mergeCell ref="A10:B10"/>
    <mergeCell ref="Q10:S10"/>
    <mergeCell ref="A11:B11"/>
    <mergeCell ref="Q11:S11"/>
    <mergeCell ref="A12:B12"/>
    <mergeCell ref="Q12:S12"/>
    <mergeCell ref="A13:B13"/>
    <mergeCell ref="Q13:S13"/>
    <mergeCell ref="A14:B14"/>
    <mergeCell ref="Q14:S14"/>
    <mergeCell ref="A15:B15"/>
    <mergeCell ref="Q15:S15"/>
    <mergeCell ref="A16:B16"/>
    <mergeCell ref="Q16:S16"/>
    <mergeCell ref="A17:B17"/>
    <mergeCell ref="Q17:S17"/>
    <mergeCell ref="A18:B18"/>
    <mergeCell ref="Q18:S18"/>
    <mergeCell ref="A19:B19"/>
    <mergeCell ref="Q19:S19"/>
    <mergeCell ref="A20:B20"/>
    <mergeCell ref="Q20:S20"/>
    <mergeCell ref="A21:B21"/>
    <mergeCell ref="Q21:S21"/>
    <mergeCell ref="A22:B22"/>
    <mergeCell ref="Q22:S22"/>
    <mergeCell ref="A23:B23"/>
    <mergeCell ref="Q23:S23"/>
    <mergeCell ref="A24:B24"/>
    <mergeCell ref="Q24:S24"/>
    <mergeCell ref="A25:B25"/>
    <mergeCell ref="Q25:S25"/>
    <mergeCell ref="A26:B26"/>
    <mergeCell ref="Q26:S26"/>
    <mergeCell ref="A27:B27"/>
    <mergeCell ref="Q27:S27"/>
    <mergeCell ref="A28:B28"/>
    <mergeCell ref="Q28:S28"/>
    <mergeCell ref="A29:B29"/>
    <mergeCell ref="Q29:S29"/>
    <mergeCell ref="A30:B30"/>
    <mergeCell ref="Q30:S30"/>
    <mergeCell ref="A31:B31"/>
    <mergeCell ref="Q31:S31"/>
    <mergeCell ref="A32:B32"/>
    <mergeCell ref="Q32:S32"/>
    <mergeCell ref="B34:R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2026-09-15T11:02:37Z</dcterms:modified>
</cp:coreProperties>
</file>